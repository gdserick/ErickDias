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2A6C779B-1F01-4AEA-A259-0A7FD42F8AA0}" xr6:coauthVersionLast="47" xr6:coauthVersionMax="47" xr10:uidLastSave="{00000000-0000-0000-0000-000000000000}"/>
  <bookViews>
    <workbookView xWindow="-105" yWindow="0" windowWidth="14610" windowHeight="15585" xr2:uid="{B6993990-7DA6-4B0C-B0B1-7689D0066E95}"/>
  </bookViews>
  <sheets>
    <sheet name="Planilha1" sheetId="1" r:id="rId1"/>
    <sheet name="Class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 a="1"/>
  <c r="D14" i="1" s="1"/>
  <c r="C14" i="1"/>
  <c r="B14" i="1"/>
  <c r="D13" i="1" a="1"/>
  <c r="D13" i="1" s="1"/>
  <c r="C13" i="1"/>
  <c r="B13" i="1"/>
  <c r="C3" i="1"/>
  <c r="C4" i="1"/>
  <c r="C5" i="1"/>
  <c r="C6" i="1"/>
  <c r="C7" i="1"/>
  <c r="C8" i="1"/>
  <c r="C9" i="1"/>
  <c r="C10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<sst xmlns="http://schemas.openxmlformats.org/spreadsheetml/2006/main" count="24" uniqueCount="20">
  <si>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RENDA MENSAL</t>
  </si>
  <si>
    <t>CLASSIFICAÇÃO</t>
  </si>
  <si>
    <t>CLIENTE</t>
  </si>
  <si>
    <t>Jacira</t>
  </si>
  <si>
    <t>Emilene</t>
  </si>
  <si>
    <t>Claudio</t>
  </si>
  <si>
    <t>Eneide</t>
  </si>
  <si>
    <t>Cristina</t>
  </si>
  <si>
    <t>Roseli</t>
  </si>
  <si>
    <t>Margarida</t>
  </si>
  <si>
    <t>Rosana</t>
  </si>
  <si>
    <t>Hilda</t>
  </si>
  <si>
    <t>Maior Renda</t>
  </si>
  <si>
    <t>Menor Renda</t>
  </si>
  <si>
    <t>VALOR</t>
  </si>
  <si>
    <t>POSIÇÃO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</si>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</sst>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6" fontId="0" fillId="0" borderId="1" xfId="1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FD4A-DA5E-4846-B9CF-06AF13E506E2}">
  <dimension ref="A1:D14"/>
  <sheetViews>
    <sheetView tabSelected="1" workbookViewId="0">
      <selection activeCell="D15" sqref="D15"/>
    </sheetView>
  </sheetViews>
  <sheetFormatPr defaultRowHeight="15" x14ac:dyDescent="0.25"/>
  <cols>
    <col min="1" max="1" width="15" bestFit="1" customWidth="1"/>
    <col min="2" max="2" width="16" bestFit="1" customWidth="1"/>
    <col min="3" max="3" width="15.5703125" bestFit="1" customWidth="1"/>
  </cols>
  <sheetData>
    <row r="1" spans="1:4" ht="15.75" x14ac:dyDescent="0.25">
      <c r="A1" s="1" t="s">
        <v>2</v>
      </c>
      <c r="B1" s="1" t="s">
        <v>0</v>
      </c>
      <c r="C1" s="1" t="s">
        <v>1</v>
      </c>
    </row>
    <row r="2" spans="1:4" x14ac:dyDescent="0.25">
      <c r="A2" s="2" t="s">
        <v>3</v>
      </c>
      <c r="B2" s="3">
        <v>3500</v>
      </c>
      <c r="C2" s="6" t="str">
        <f>HLOOKUP(Planilha1!B2, Classificação!A$1:E$2,2,TRUE)</f>
        <v>B</v>
      </c>
    </row>
    <row r="3" spans="1:4" x14ac:dyDescent="0.25">
      <c r="A3" s="2" t="s">
        <v>4</v>
      </c>
      <c r="B3" s="3">
        <v>1200</v>
      </c>
      <c r="C3" s="6" t="str">
        <f>HLOOKUP(Planilha1!B3, Classificação!A$1:E$2,2,TRUE)</f>
        <v>C</v>
      </c>
    </row>
    <row r="4" spans="1:4" x14ac:dyDescent="0.25">
      <c r="A4" s="2" t="s">
        <v>5</v>
      </c>
      <c r="B4" s="3">
        <v>4500</v>
      </c>
      <c r="C4" s="6" t="str">
        <f>HLOOKUP(Planilha1!B4, Classificação!A$1:E$2,2,TRUE)</f>
        <v>A</v>
      </c>
    </row>
    <row r="5" spans="1:4" x14ac:dyDescent="0.25">
      <c r="A5" s="2" t="s">
        <v>6</v>
      </c>
      <c r="B5" s="3">
        <v>750</v>
      </c>
      <c r="C5" s="6" t="str">
        <f>HLOOKUP(Planilha1!B5, Classificação!A$1:E$2,2,TRUE)</f>
        <v>D</v>
      </c>
    </row>
    <row r="6" spans="1:4" x14ac:dyDescent="0.25">
      <c r="A6" s="2" t="s">
        <v>7</v>
      </c>
      <c r="B6" s="3">
        <v>1300</v>
      </c>
      <c r="C6" s="6" t="str">
        <f>HLOOKUP(Planilha1!B6, Classificação!A$1:E$2,2,TRUE)</f>
        <v>C</v>
      </c>
    </row>
    <row r="7" spans="1:4" x14ac:dyDescent="0.25">
      <c r="A7" s="2" t="s">
        <v>8</v>
      </c>
      <c r="B7" s="3">
        <v>9000</v>
      </c>
      <c r="C7" s="6" t="str">
        <f>HLOOKUP(Planilha1!B7, Classificação!A$1:E$2,2,TRUE)</f>
        <v>A</v>
      </c>
    </row>
    <row r="8" spans="1:4" x14ac:dyDescent="0.25">
      <c r="A8" s="2" t="s">
        <v>9</v>
      </c>
      <c r="B8" s="3">
        <v>1800</v>
      </c>
      <c r="C8" s="6" t="str">
        <f>HLOOKUP(Planilha1!B8, Classificação!A$1:E$2,2,TRUE)</f>
        <v>C</v>
      </c>
    </row>
    <row r="9" spans="1:4" x14ac:dyDescent="0.25">
      <c r="A9" s="2" t="s">
        <v>10</v>
      </c>
      <c r="B9" s="3">
        <v>2600</v>
      </c>
      <c r="C9" s="6" t="str">
        <f>HLOOKUP(Planilha1!B9, Classificação!A$1:E$2,2,TRUE)</f>
        <v>B</v>
      </c>
    </row>
    <row r="10" spans="1:4" x14ac:dyDescent="0.25">
      <c r="A10" s="2" t="s">
        <v>11</v>
      </c>
      <c r="B10" s="3">
        <v>3500</v>
      </c>
      <c r="C10" s="6" t="str">
        <f>HLOOKUP(Planilha1!B10, Classificação!A$1:E$2,2,TRUE)</f>
        <v>B</v>
      </c>
    </row>
    <row r="12" spans="1:4" x14ac:dyDescent="0.25">
      <c r="A12" s="2" t="s">
        <v>0</v>
      </c>
      <c r="B12" s="2" t="s">
        <v>14</v>
      </c>
      <c r="C12" s="2" t="s">
        <v>15</v>
      </c>
      <c r="D12" s="2" t="s">
        <v>2</v>
      </c>
    </row>
    <row r="13" spans="1:4" x14ac:dyDescent="0.25">
      <c r="A13" s="2" t="s">
        <v>12</v>
      </c>
      <c r="B13" s="7">
        <f>MAX(B2:B10)</f>
        <v>9000</v>
      </c>
      <c r="C13" s="6">
        <f>MATCH(B13,B2:B10,0)</f>
        <v>6</v>
      </c>
      <c r="D13" s="2" t="str" cm="1">
        <f t="array" ref="D13">INDEX(A2:A10,C13)</f>
        <v>Roseli</v>
      </c>
    </row>
    <row r="14" spans="1:4" x14ac:dyDescent="0.25">
      <c r="A14" s="2" t="s">
        <v>13</v>
      </c>
      <c r="B14" s="7">
        <f>MIN(B2:B10)</f>
        <v>750</v>
      </c>
      <c r="C14" s="6">
        <f>MATCH(B14,B2:B10,0)</f>
        <v>4</v>
      </c>
      <c r="D14" s="2" t="str" cm="1">
        <f t="array" ref="D14">INDEX(A2:A10,C14)</f>
        <v>Eneide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602E-ACED-4055-B20B-7AFDCA8F4E19}">
  <dimension ref="A1:E2"/>
  <sheetViews>
    <sheetView workbookViewId="0">
      <selection activeCell="B2" sqref="B2"/>
    </sheetView>
  </sheetViews>
  <sheetFormatPr defaultRowHeight="15" x14ac:dyDescent="0.25"/>
  <cols>
    <col min="1" max="1" width="15" bestFit="1" customWidth="1"/>
    <col min="3" max="3" width="10.5703125" bestFit="1" customWidth="1"/>
    <col min="4" max="5" width="12.140625" bestFit="1" customWidth="1"/>
  </cols>
  <sheetData>
    <row r="1" spans="1:5" x14ac:dyDescent="0.25">
      <c r="A1" s="5" t="s">
        <v>0</v>
      </c>
      <c r="B1" s="8">
        <v>0</v>
      </c>
      <c r="C1" s="3">
        <v>801</v>
      </c>
      <c r="D1" s="3">
        <v>2000</v>
      </c>
      <c r="E1" s="3">
        <v>4000</v>
      </c>
    </row>
    <row r="2" spans="1:5" x14ac:dyDescent="0.25">
      <c r="A2" s="5" t="s">
        <v>1</v>
      </c>
      <c r="B2" s="4" t="s">
        <v>16</v>
      </c>
      <c r="C2" s="4" t="s">
        <v>17</v>
      </c>
      <c r="D2" s="4" t="s">
        <v>18</v>
      </c>
      <c r="E2" s="4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Classificação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2026-03-26T16:13:37Z</dcterms:created>
  <dcterms:modified xsi:type="dcterms:W3CDTF">2026-03-26T16:34:11Z</dcterms:modified>
</cp:coreProperties>
</file>